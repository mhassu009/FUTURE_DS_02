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/>
  <xr:revisionPtr revIDLastSave="0" documentId="8_{EDBA4AF3-CB5B-41F0-A5FE-CBE484860F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Data" sheetId="1" r:id="rId1"/>
  </sheets>
  <calcPr calcId="191028"/>
  <pivotCaches>
    <pivotCache cacheId="7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<sst xmlns="http://schemas.openxmlformats.org/spreadsheetml/2006/main" count="79" uniqueCount="54">
  <si>
    <t>CustomerID</t>
  </si>
  <si>
    <t>JoinDate</t>
  </si>
  <si>
    <t>LastPurchase</t>
  </si>
  <si>
    <t>TotalPurchases</t>
  </si>
  <si>
    <t>TotalSpend</t>
  </si>
  <si>
    <t>Status</t>
  </si>
  <si>
    <t xml:space="preserve">customer life time </t>
  </si>
  <si>
    <t>Count of CustomerID</t>
  </si>
  <si>
    <t xml:space="preserve">Sum of customer life time </t>
  </si>
  <si>
    <t>Average of TotalPurchases</t>
  </si>
  <si>
    <t>Average of TotalSpend</t>
  </si>
  <si>
    <t>C001</t>
  </si>
  <si>
    <t>2024-01-01</t>
  </si>
  <si>
    <t>2024-03-20</t>
  </si>
  <si>
    <t>Active</t>
  </si>
  <si>
    <t>C002</t>
  </si>
  <si>
    <t>2024-01-05</t>
  </si>
  <si>
    <t>2024-01-25</t>
  </si>
  <si>
    <t>Churned</t>
  </si>
  <si>
    <t>C003</t>
  </si>
  <si>
    <t>2024-01-10</t>
  </si>
  <si>
    <t>2024-03-18</t>
  </si>
  <si>
    <t>Grand Total</t>
  </si>
  <si>
    <t>C004</t>
  </si>
  <si>
    <t>2024-01-15</t>
  </si>
  <si>
    <t>2024-02-05</t>
  </si>
  <si>
    <t>C005</t>
  </si>
  <si>
    <t>2024-02-01</t>
  </si>
  <si>
    <t>2024-03-22</t>
  </si>
  <si>
    <t>C006</t>
  </si>
  <si>
    <t>2024-02-12</t>
  </si>
  <si>
    <t>C007</t>
  </si>
  <si>
    <t>2024-02-10</t>
  </si>
  <si>
    <t>2024-03-25</t>
  </si>
  <si>
    <t>C008</t>
  </si>
  <si>
    <t>2024-02-15</t>
  </si>
  <si>
    <t>2024-02-22</t>
  </si>
  <si>
    <t>C009</t>
  </si>
  <si>
    <t>2024-03-01</t>
  </si>
  <si>
    <t>2024-03-28</t>
  </si>
  <si>
    <t>C010</t>
  </si>
  <si>
    <t>2024-03-05</t>
  </si>
  <si>
    <t>2024-03-10</t>
  </si>
  <si>
    <t>C011</t>
  </si>
  <si>
    <t>2024-01-08</t>
  </si>
  <si>
    <t>2024-03-27</t>
  </si>
  <si>
    <t>C012</t>
  </si>
  <si>
    <t>2024-01-12</t>
  </si>
  <si>
    <t>C013</t>
  </si>
  <si>
    <t>2024-02-03</t>
  </si>
  <si>
    <t>2024-03-26</t>
  </si>
  <si>
    <t>C014</t>
  </si>
  <si>
    <t>2024-02-07</t>
  </si>
  <si>
    <t>2024-02-18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</si>
</sst>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(&quot;$&quot;* #,##0_);_(&quot;$&quot;* \(#,##0\);_(&quot;$&quot;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2" formatCode="0.00"/>
    </dxf>
    <dxf>
      <numFmt numFmtId="30" formatCode="@"/>
    </dxf>
    <dxf>
      <numFmt numFmtId="165" formatCode="_(&quot;$&quot;* #,##0_);_(&quot;$&quot;* \(#,##0\);_(&quot;$&quot;* &quot;-&quot;??_);_(@_)"/>
    </dxf>
    <dxf>
      <numFmt numFmtId="1" formatCode="0"/>
    </dxf>
    <dxf>
      <numFmt numFmtId="164" formatCode="[$-F800]dddd\,\ mmmm\ dd\,\ yyyy"/>
    </dxf>
    <dxf>
      <numFmt numFmtId="164" formatCode="[$-F800]dddd\,\ m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[customer_churn_dataset.xlsx]CustomerData!PivotTable1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CustomerData!$J$1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CustomerData!$I$2:$I$4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CustomerData!$J$2:$J$4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F-4329-895F-251FBC49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015304"/>
        <c:axId val="273019400"/>
      </c:barChart>
      <c:catAx>
        <c:axId val="273015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19400"/>
        <c:crosses val="autoZero"/>
        <c:auto val="1"/>
        <c:lblAlgn val="ctr"/>
        <c:lblOffset val="100"/>
        <c:noMultiLvlLbl val="0"/>
      </c:catAx>
      <c:valAx>
        <c:axId val="27301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1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[customer_churn_dataset.xlsx]CustomerData!PivotTable2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CustomerData!$N$1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CustomerData!$M$2:$M$4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CustomerData!$N$2:$N$4</c:f>
              <c:numCache>
                <c:formatCode>0.00</c:formatCode>
                <c:ptCount val="2"/>
                <c:pt idx="0">
                  <c:v>446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A-4D6F-9793-63AA627E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484615"/>
        <c:axId val="1948162567"/>
      </c:barChart>
      <c:catAx>
        <c:axId val="1772484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62567"/>
        <c:crosses val="autoZero"/>
        <c:auto val="1"/>
        <c:lblAlgn val="ctr"/>
        <c:lblOffset val="100"/>
        <c:noMultiLvlLbl val="0"/>
      </c:catAx>
      <c:valAx>
        <c:axId val="1948162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8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[customer_churn_dataset.xlsx]CustomerData!PivotTable3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CustomerData!$S$1</c:f>
              <c:strCache>
                <c:ptCount val="1"/>
                <c:pt idx="0">
                  <c:v>Average of TotalPurchases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CustomerData!$R$2:$R$4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CustomerData!$S$2:$S$4</c:f>
              <c:numCache>
                <c:formatCode>0</c:formatCode>
                <c:ptCount val="2"/>
                <c:pt idx="0">
                  <c:v>7.25</c:v>
                </c:pt>
                <c:pt idx="1">
                  <c:v>1.7142857142857142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6-4B35-BBB4-282173BCEB6A}"/>
            </c:ext>
          </c:extLst>
        </c:ser>
        <c:ser>
          <c:idx val="1"/>
          <c:order val="1"/>
          <c:tx>
            <c:strRef>
              <c:f>CustomerData!$T$1</c:f>
              <c:strCache>
                <c:ptCount val="1"/>
                <c:pt idx="0">
                  <c:v>Average of TotalSpend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CustomerData!$R$2:$R$4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CustomerData!$T$2:$T$4</c:f>
              <c:numCache>
                <c:formatCode>_("$"* #,##0_);_("$"* \(#,##0\);_("$"* "-"??_);_(@_)</c:formatCode>
                <c:ptCount val="2"/>
                <c:pt idx="0">
                  <c:v>72500</c:v>
                </c:pt>
                <c:pt idx="1">
                  <c:v>9428.5714285714294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B6-4B35-BBB4-282173BC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612231"/>
        <c:axId val="273016840"/>
      </c:barChart>
      <c:catAx>
        <c:axId val="698612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16840"/>
        <c:crosses val="autoZero"/>
        <c:auto val="1"/>
        <c:lblAlgn val="ctr"/>
        <c:lblOffset val="100"/>
        <c:noMultiLvlLbl val="0"/>
      </c:catAx>
      <c:valAx>
        <c:axId val="27301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1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4</xdr:row>
      <xdr:rowOff>19050</xdr:rowOff>
    </xdr:from>
    <xdr:to>
      <xdr:col>11</xdr:col>
      <xdr:colOff>381000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3AE00-1B91-78B4-E4FD-FB67D379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4</xdr:row>
      <xdr:rowOff>19050</xdr:rowOff>
    </xdr:from>
    <xdr:to>
      <xdr:col>15</xdr:col>
      <xdr:colOff>447675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399A8-FF6C-FB30-0A8F-F4F108616251}"/>
            </a:ext>
            <a:ext uri="{147F2762-F138-4A5C-976F-8EAC2B608ADB}">
              <a16:predDERef xmlns:a16="http://schemas.microsoft.com/office/drawing/2014/main" pred="{91E3AE00-1B91-78B4-E4FD-FB67D379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495300</xdr:colOff>
      <xdr:row>4</xdr:row>
      <xdr:rowOff>38100</xdr:rowOff>
    </xdr:from>
    <xdr:to>
      <xdr:col>19</xdr:col>
      <xdr:colOff>1304925</xdr:colOff>
      <xdr:row>12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A8DAD3-DE7A-CF13-6712-744EB10EBE6D}"/>
            </a:ext>
            <a:ext uri="{147F2762-F138-4A5C-976F-8EAC2B608ADB}">
              <a16:predDERef xmlns:a16="http://schemas.microsoft.com/office/drawing/2014/main" pred="{CD2399A8-FF6C-FB30-0A8F-F4F108616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95250</xdr:colOff>
      <xdr:row>13</xdr:row>
      <xdr:rowOff>95250</xdr:rowOff>
    </xdr:from>
    <xdr:to>
      <xdr:col>18</xdr:col>
      <xdr:colOff>2324100</xdr:colOff>
      <xdr:row>15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8BD1A8-31D9-89F0-B01C-F468207DB20C}"/>
            </a:ext>
            <a:ext uri="{147F2762-F138-4A5C-976F-8EAC2B608ADB}">
              <a16:predDERef xmlns:a16="http://schemas.microsoft.com/office/drawing/2014/main" pred="{91A8DAD3-DE7A-CF13-6712-744EB10EBE6D}"/>
            </a:ext>
          </a:extLst>
        </xdr:cNvPr>
        <xdr:cNvSpPr txBox="1"/>
      </xdr:nvSpPr>
      <xdr:spPr>
        <a:xfrm>
          <a:off x="16563975" y="2571750"/>
          <a:ext cx="2990850" cy="45720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customers with higher purchases frequency and higher spending are more likely to remain active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342900</xdr:colOff>
      <xdr:row>14</xdr:row>
      <xdr:rowOff>114300</xdr:rowOff>
    </xdr:from>
    <xdr:to>
      <xdr:col>13</xdr:col>
      <xdr:colOff>2390775</xdr:colOff>
      <xdr:row>17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F63B97-00B3-E8C5-DFAE-D396F41A7C4B}"/>
            </a:ext>
            <a:ext uri="{147F2762-F138-4A5C-976F-8EAC2B608ADB}">
              <a16:predDERef xmlns:a16="http://schemas.microsoft.com/office/drawing/2014/main" pred="{F38BD1A8-31D9-89F0-B01C-F468207DB20C}"/>
            </a:ext>
          </a:extLst>
        </xdr:cNvPr>
        <xdr:cNvSpPr txBox="1"/>
      </xdr:nvSpPr>
      <xdr:spPr>
        <a:xfrm>
          <a:off x="11782425" y="2781300"/>
          <a:ext cx="2809875" cy="4857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"churned customer have shorter life time compare to active customer" </a:t>
          </a:r>
        </a:p>
      </xdr:txBody>
    </xdr:sp>
    <xdr:clientData/>
  </xdr:twoCellAnchor>
  <xdr:twoCellAnchor>
    <xdr:from>
      <xdr:col>8</xdr:col>
      <xdr:colOff>28575</xdr:colOff>
      <xdr:row>15</xdr:row>
      <xdr:rowOff>104775</xdr:rowOff>
    </xdr:from>
    <xdr:to>
      <xdr:col>11</xdr:col>
      <xdr:colOff>133350</xdr:colOff>
      <xdr:row>18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111089-8C7B-5956-8757-A3B92B79976D}"/>
            </a:ext>
            <a:ext uri="{147F2762-F138-4A5C-976F-8EAC2B608ADB}">
              <a16:predDERef xmlns:a16="http://schemas.microsoft.com/office/drawing/2014/main" pred="{28F63B97-00B3-E8C5-DFAE-D396F41A7C4B}"/>
            </a:ext>
          </a:extLst>
        </xdr:cNvPr>
        <xdr:cNvSpPr txBox="1"/>
      </xdr:nvSpPr>
      <xdr:spPr>
        <a:xfrm>
          <a:off x="7658100" y="2962275"/>
          <a:ext cx="3305175" cy="53340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customer with low purchases churn faster.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short lifetime customer are more likely to leave.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958330787034" createdVersion="8" refreshedVersion="8" minRefreshableVersion="3" recordCount="15" xr:uid="{70FD442B-CFDB-4CA9-B214-8E26783C15A6}">
  <cacheSource type="worksheet">
    <worksheetSource name="Table1"/>
  </cacheSource>
  <cacheFields count="7">
    <cacheField name="CustomerID" numFmtId="0">
      <sharedItems count="15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</sharedItems>
    </cacheField>
    <cacheField name="JoinDate" numFmtId="164">
      <sharedItems/>
    </cacheField>
    <cacheField name="LastPurchase" numFmtId="164">
      <sharedItems/>
    </cacheField>
    <cacheField name="TotalPurchases" numFmtId="1">
      <sharedItems containsSemiMixedTypes="0" containsString="0" containsNumber="1" containsInteger="1" minValue="1" maxValue="10"/>
    </cacheField>
    <cacheField name="TotalSpend" numFmtId="165">
      <sharedItems containsSemiMixedTypes="0" containsString="0" containsNumber="1" containsInteger="1" minValue="5000" maxValue="100000"/>
    </cacheField>
    <cacheField name="Status" numFmtId="49">
      <sharedItems count="2">
        <s v="Active"/>
        <s v="Churned"/>
      </sharedItems>
    </cacheField>
    <cacheField name="customer life time " numFmtId="2">
      <sharedItems containsSemiMixedTypes="0" containsString="0" containsNumber="1" containsInteger="1" minValue="5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2024-01-01"/>
    <s v="2024-03-20"/>
    <n v="8"/>
    <n v="80000"/>
    <x v="0"/>
    <n v="79"/>
  </r>
  <r>
    <x v="1"/>
    <s v="2024-01-05"/>
    <s v="2024-01-25"/>
    <n v="2"/>
    <n v="12000"/>
    <x v="1"/>
    <n v="20"/>
  </r>
  <r>
    <x v="2"/>
    <s v="2024-01-10"/>
    <s v="2024-03-18"/>
    <n v="7"/>
    <n v="75000"/>
    <x v="0"/>
    <n v="68"/>
  </r>
  <r>
    <x v="3"/>
    <s v="2024-01-15"/>
    <s v="2024-02-05"/>
    <n v="3"/>
    <n v="15000"/>
    <x v="1"/>
    <n v="21"/>
  </r>
  <r>
    <x v="4"/>
    <s v="2024-02-01"/>
    <s v="2024-03-22"/>
    <n v="6"/>
    <n v="60000"/>
    <x v="0"/>
    <n v="50"/>
  </r>
  <r>
    <x v="5"/>
    <s v="2024-02-05"/>
    <s v="2024-02-12"/>
    <n v="1"/>
    <n v="5000"/>
    <x v="1"/>
    <n v="7"/>
  </r>
  <r>
    <x v="6"/>
    <s v="2024-02-10"/>
    <s v="2024-03-25"/>
    <n v="9"/>
    <n v="90000"/>
    <x v="0"/>
    <n v="44"/>
  </r>
  <r>
    <x v="7"/>
    <s v="2024-02-15"/>
    <s v="2024-02-22"/>
    <n v="2"/>
    <n v="10000"/>
    <x v="1"/>
    <n v="7"/>
  </r>
  <r>
    <x v="8"/>
    <s v="2024-03-01"/>
    <s v="2024-03-28"/>
    <n v="5"/>
    <n v="40000"/>
    <x v="0"/>
    <n v="27"/>
  </r>
  <r>
    <x v="9"/>
    <s v="2024-03-05"/>
    <s v="2024-03-10"/>
    <n v="1"/>
    <n v="7000"/>
    <x v="1"/>
    <n v="5"/>
  </r>
  <r>
    <x v="10"/>
    <s v="2024-01-08"/>
    <s v="2024-03-27"/>
    <n v="10"/>
    <n v="100000"/>
    <x v="0"/>
    <n v="79"/>
  </r>
  <r>
    <x v="11"/>
    <s v="2024-01-12"/>
    <s v="2024-02-01"/>
    <n v="2"/>
    <n v="11000"/>
    <x v="1"/>
    <n v="20"/>
  </r>
  <r>
    <x v="12"/>
    <s v="2024-02-03"/>
    <s v="2024-03-26"/>
    <n v="6"/>
    <n v="65000"/>
    <x v="0"/>
    <n v="52"/>
  </r>
  <r>
    <x v="13"/>
    <s v="2024-02-07"/>
    <s v="2024-02-18"/>
    <n v="1"/>
    <n v="6000"/>
    <x v="1"/>
    <n v="11"/>
  </r>
  <r>
    <x v="14"/>
    <s v="2024-02-12"/>
    <s v="2024-03-30"/>
    <n v="7"/>
    <n v="70000"/>
    <x v="0"/>
    <n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7E6A0-2612-4AA2-A7D1-4275C13EA633}" name="PivotTable3" cacheId="7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1:T4" firstHeaderRow="0" firstDataRow="1" firstDataCol="1"/>
  <pivotFields count="7"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5" outline="0" showAll="0"/>
    <pivotField axis="axisRow" compact="0" outline="0" showAll="0">
      <items count="3">
        <item x="0"/>
        <item x="1"/>
        <item t="default"/>
      </items>
    </pivotField>
    <pivotField compact="0" numFmtId="2" outline="0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urchases" fld="3" subtotal="average" baseField="0" baseItem="0" numFmtId="1"/>
    <dataField name="Average of TotalSpend" fld="4" subtotal="average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3F4C8-8D6D-456E-B160-46ADA3BD3C0F}" name="PivotTable2" cacheId="7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1:N4" firstHeaderRow="1" firstDataRow="1" firstDataCol="1"/>
  <pivotFields count="7"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axis="axisRow" compact="0" outline="0" showAll="0">
      <items count="3">
        <item x="0"/>
        <item x="1"/>
        <item t="default"/>
      </items>
    </pivotField>
    <pivotField dataField="1" compact="0" numFmtId="2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customer life time " fld="6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86B73-8C82-49C5-9772-40774ADBFC5C}" name="PivotTable1" cacheId="7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1:J4" firstHeaderRow="1" firstDataRow="1" firstDataCol="1"/>
  <pivotFields count="7">
    <pivotField dataField="1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numFmtId="1" outline="0" showAll="0"/>
    <pivotField compact="0" numFmtId="165" outline="0" showAll="0"/>
    <pivotField axis="axisRow" compact="0" outline="0" showAll="0">
      <items count="3">
        <item x="0"/>
        <item x="1"/>
        <item t="default"/>
      </items>
    </pivotField>
    <pivotField compact="0" numFmtId="2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0CEE1-F371-4360-8B52-26E8FB394D75}" name="Table1" displayName="Table1" ref="A1:G15" totalsRowShown="0">
  <autoFilter ref="A1:G15" xr:uid="{30D0CEE1-F371-4360-8B52-26E8FB394D75}"/>
  <tableColumns count="7">
    <tableColumn id="1" xr3:uid="{93B46490-DA99-4F03-AFFE-B071B0CA471A}" name="CustomerID"/>
    <tableColumn id="2" xr3:uid="{F17A969F-A8FC-4AC7-AC62-FFF0A17ABE60}" name="JoinDate" dataDxfId="5"/>
    <tableColumn id="3" xr3:uid="{BB664261-53BB-4617-B1EE-13E32C4AC2A1}" name="LastPurchase" dataDxfId="4"/>
    <tableColumn id="4" xr3:uid="{5B015D95-47F9-4B74-8889-1C6CD89D8EEA}" name="TotalPurchases" dataDxfId="3"/>
    <tableColumn id="5" xr3:uid="{2C092341-C073-44E9-87C0-AA1CC55E5E96}" name="TotalSpend" dataDxfId="2"/>
    <tableColumn id="6" xr3:uid="{96FE51DF-DCFA-4E5A-B830-EC1E5E37992E}" name="Status" dataDxfId="1"/>
    <tableColumn id="7" xr3:uid="{8BEE0626-0C35-4BF7-8757-87E441FD33E3}" name="customer life time " dataDxfId="0">
      <calculatedColumnFormula>Table1[[#This Row],[LastPurchase]]-Table1[[#This Row],[JoinDate]]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G17" sqref="G17"/>
    </sheetView>
  </sheetViews>
  <sheetFormatPr defaultRowHeight="15"/>
  <cols>
    <col min="1" max="1" width="13.7109375" bestFit="1" customWidth="1"/>
    <col min="2" max="2" width="10.85546875" bestFit="1" customWidth="1"/>
    <col min="3" max="3" width="14.85546875" bestFit="1" customWidth="1"/>
    <col min="4" max="4" width="16.5703125" style="3" bestFit="1" customWidth="1"/>
    <col min="5" max="5" width="13.28515625" style="4" bestFit="1" customWidth="1"/>
    <col min="6" max="6" width="9.140625" style="5"/>
    <col min="7" max="7" width="26.85546875" style="2" bestFit="1" customWidth="1"/>
    <col min="9" max="9" width="11.42578125" bestFit="1" customWidth="1"/>
    <col min="10" max="10" width="27.42578125" bestFit="1" customWidth="1"/>
    <col min="13" max="13" width="11.42578125" bestFit="1" customWidth="1"/>
    <col min="14" max="14" width="36.5703125" bestFit="1" customWidth="1"/>
    <col min="18" max="18" width="11.42578125" bestFit="1" customWidth="1"/>
    <col min="19" max="19" width="36.5703125" bestFit="1" customWidth="1"/>
    <col min="20" max="20" width="21" bestFit="1" customWidth="1"/>
  </cols>
  <sheetData>
    <row r="1" spans="1:20">
      <c r="A1" t="s">
        <v>0</v>
      </c>
      <c r="B1" t="s">
        <v>1</v>
      </c>
      <c r="C1" t="s">
        <v>2</v>
      </c>
      <c r="D1" s="3" t="s">
        <v>3</v>
      </c>
      <c r="E1" s="4" t="s">
        <v>4</v>
      </c>
      <c r="F1" s="5" t="s">
        <v>5</v>
      </c>
      <c r="G1" s="2" t="s">
        <v>6</v>
      </c>
      <c r="I1" s="6" t="s">
        <v>5</v>
      </c>
      <c r="J1" t="s">
        <v>7</v>
      </c>
      <c r="M1" s="6" t="s">
        <v>5</v>
      </c>
      <c r="N1" t="s">
        <v>8</v>
      </c>
      <c r="R1" s="6" t="s">
        <v>5</v>
      </c>
      <c r="S1" t="s">
        <v>9</v>
      </c>
      <c r="T1" t="s">
        <v>10</v>
      </c>
    </row>
    <row r="2" spans="1:20">
      <c r="A2" t="s">
        <v>11</v>
      </c>
      <c r="B2" s="1" t="s">
        <v>12</v>
      </c>
      <c r="C2" s="1" t="s">
        <v>13</v>
      </c>
      <c r="D2" s="3">
        <v>8</v>
      </c>
      <c r="E2" s="4">
        <v>80000</v>
      </c>
      <c r="F2" s="5" t="s">
        <v>14</v>
      </c>
      <c r="G2" s="2">
        <f>Table1[[#This Row],[LastPurchase]]-Table1[[#This Row],[JoinDate]]</f>
        <v>79</v>
      </c>
      <c r="I2" t="s">
        <v>14</v>
      </c>
      <c r="J2" s="7">
        <v>8</v>
      </c>
      <c r="M2" t="s">
        <v>14</v>
      </c>
      <c r="N2" s="2">
        <v>446</v>
      </c>
      <c r="R2" t="s">
        <v>14</v>
      </c>
      <c r="S2" s="3">
        <v>7.25</v>
      </c>
      <c r="T2" s="4">
        <v>72500</v>
      </c>
    </row>
    <row r="3" spans="1:20">
      <c r="A3" t="s">
        <v>15</v>
      </c>
      <c r="B3" s="1" t="s">
        <v>16</v>
      </c>
      <c r="C3" s="1" t="s">
        <v>17</v>
      </c>
      <c r="D3" s="3">
        <v>2</v>
      </c>
      <c r="E3" s="4">
        <v>12000</v>
      </c>
      <c r="F3" s="5" t="s">
        <v>18</v>
      </c>
      <c r="G3" s="2">
        <f>Table1[[#This Row],[LastPurchase]]-Table1[[#This Row],[JoinDate]]</f>
        <v>20</v>
      </c>
      <c r="I3" t="s">
        <v>18</v>
      </c>
      <c r="J3" s="7">
        <v>7</v>
      </c>
      <c r="M3" t="s">
        <v>18</v>
      </c>
      <c r="N3" s="2">
        <v>91</v>
      </c>
      <c r="R3" t="s">
        <v>18</v>
      </c>
      <c r="S3" s="3">
        <v>1.7142857142857142</v>
      </c>
      <c r="T3" s="4">
        <v>9428.5714285714294</v>
      </c>
    </row>
    <row r="4" spans="1:20">
      <c r="A4" t="s">
        <v>19</v>
      </c>
      <c r="B4" s="1" t="s">
        <v>20</v>
      </c>
      <c r="C4" s="1" t="s">
        <v>21</v>
      </c>
      <c r="D4" s="3">
        <v>7</v>
      </c>
      <c r="E4" s="4">
        <v>75000</v>
      </c>
      <c r="F4" s="5" t="s">
        <v>14</v>
      </c>
      <c r="G4" s="2">
        <f>Table1[[#This Row],[LastPurchase]]-Table1[[#This Row],[JoinDate]]</f>
        <v>68</v>
      </c>
      <c r="I4" t="s">
        <v>22</v>
      </c>
      <c r="J4" s="7">
        <v>15</v>
      </c>
      <c r="M4" t="s">
        <v>22</v>
      </c>
      <c r="N4" s="2">
        <v>537</v>
      </c>
      <c r="R4" t="s">
        <v>22</v>
      </c>
      <c r="S4" s="3">
        <v>4.666666666666667</v>
      </c>
      <c r="T4" s="4">
        <v>43066.666666666664</v>
      </c>
    </row>
    <row r="5" spans="1:20">
      <c r="A5" t="s">
        <v>23</v>
      </c>
      <c r="B5" s="1" t="s">
        <v>24</v>
      </c>
      <c r="C5" s="1" t="s">
        <v>25</v>
      </c>
      <c r="D5" s="3">
        <v>3</v>
      </c>
      <c r="E5" s="4">
        <v>15000</v>
      </c>
      <c r="F5" s="5" t="s">
        <v>18</v>
      </c>
      <c r="G5" s="2">
        <f>Table1[[#This Row],[LastPurchase]]-Table1[[#This Row],[JoinDate]]</f>
        <v>21</v>
      </c>
    </row>
    <row r="6" spans="1:20">
      <c r="A6" t="s">
        <v>26</v>
      </c>
      <c r="B6" s="1" t="s">
        <v>27</v>
      </c>
      <c r="C6" s="1" t="s">
        <v>28</v>
      </c>
      <c r="D6" s="3">
        <v>6</v>
      </c>
      <c r="E6" s="4">
        <v>60000</v>
      </c>
      <c r="F6" s="5" t="s">
        <v>14</v>
      </c>
      <c r="G6" s="2">
        <f>Table1[[#This Row],[LastPurchase]]-Table1[[#This Row],[JoinDate]]</f>
        <v>50</v>
      </c>
    </row>
    <row r="7" spans="1:20">
      <c r="A7" t="s">
        <v>29</v>
      </c>
      <c r="B7" s="1" t="s">
        <v>25</v>
      </c>
      <c r="C7" s="1" t="s">
        <v>30</v>
      </c>
      <c r="D7" s="3">
        <v>1</v>
      </c>
      <c r="E7" s="4">
        <v>5000</v>
      </c>
      <c r="F7" s="5" t="s">
        <v>18</v>
      </c>
      <c r="G7" s="2">
        <f>Table1[[#This Row],[LastPurchase]]-Table1[[#This Row],[JoinDate]]</f>
        <v>7</v>
      </c>
    </row>
    <row r="8" spans="1:20">
      <c r="A8" t="s">
        <v>31</v>
      </c>
      <c r="B8" s="1" t="s">
        <v>32</v>
      </c>
      <c r="C8" s="1" t="s">
        <v>33</v>
      </c>
      <c r="D8" s="3">
        <v>9</v>
      </c>
      <c r="E8" s="4">
        <v>90000</v>
      </c>
      <c r="F8" s="5" t="s">
        <v>14</v>
      </c>
      <c r="G8" s="2">
        <f>Table1[[#This Row],[LastPurchase]]-Table1[[#This Row],[JoinDate]]</f>
        <v>44</v>
      </c>
    </row>
    <row r="9" spans="1:20">
      <c r="A9" t="s">
        <v>34</v>
      </c>
      <c r="B9" s="1" t="s">
        <v>35</v>
      </c>
      <c r="C9" s="1" t="s">
        <v>36</v>
      </c>
      <c r="D9" s="3">
        <v>2</v>
      </c>
      <c r="E9" s="4">
        <v>10000</v>
      </c>
      <c r="F9" s="5" t="s">
        <v>18</v>
      </c>
      <c r="G9" s="2">
        <f>Table1[[#This Row],[LastPurchase]]-Table1[[#This Row],[JoinDate]]</f>
        <v>7</v>
      </c>
    </row>
    <row r="10" spans="1:20">
      <c r="A10" t="s">
        <v>37</v>
      </c>
      <c r="B10" s="1" t="s">
        <v>38</v>
      </c>
      <c r="C10" s="1" t="s">
        <v>39</v>
      </c>
      <c r="D10" s="3">
        <v>5</v>
      </c>
      <c r="E10" s="4">
        <v>40000</v>
      </c>
      <c r="F10" s="5" t="s">
        <v>14</v>
      </c>
      <c r="G10" s="2">
        <f>Table1[[#This Row],[LastPurchase]]-Table1[[#This Row],[JoinDate]]</f>
        <v>27</v>
      </c>
    </row>
    <row r="11" spans="1:20">
      <c r="A11" t="s">
        <v>40</v>
      </c>
      <c r="B11" s="1" t="s">
        <v>41</v>
      </c>
      <c r="C11" s="1" t="s">
        <v>42</v>
      </c>
      <c r="D11" s="3">
        <v>1</v>
      </c>
      <c r="E11" s="4">
        <v>7000</v>
      </c>
      <c r="F11" s="5" t="s">
        <v>18</v>
      </c>
      <c r="G11" s="2">
        <f>Table1[[#This Row],[LastPurchase]]-Table1[[#This Row],[JoinDate]]</f>
        <v>5</v>
      </c>
    </row>
    <row r="12" spans="1:20">
      <c r="A12" t="s">
        <v>43</v>
      </c>
      <c r="B12" s="1" t="s">
        <v>44</v>
      </c>
      <c r="C12" s="1" t="s">
        <v>45</v>
      </c>
      <c r="D12" s="3">
        <v>10</v>
      </c>
      <c r="E12" s="4">
        <v>100000</v>
      </c>
      <c r="F12" s="5" t="s">
        <v>14</v>
      </c>
      <c r="G12" s="2">
        <f>Table1[[#This Row],[LastPurchase]]-Table1[[#This Row],[JoinDate]]</f>
        <v>79</v>
      </c>
    </row>
    <row r="13" spans="1:20">
      <c r="A13" t="s">
        <v>46</v>
      </c>
      <c r="B13" s="1" t="s">
        <v>47</v>
      </c>
      <c r="C13" s="1" t="s">
        <v>27</v>
      </c>
      <c r="D13" s="3">
        <v>2</v>
      </c>
      <c r="E13" s="4">
        <v>11000</v>
      </c>
      <c r="F13" s="5" t="s">
        <v>18</v>
      </c>
      <c r="G13" s="2">
        <f>Table1[[#This Row],[LastPurchase]]-Table1[[#This Row],[JoinDate]]</f>
        <v>20</v>
      </c>
    </row>
    <row r="14" spans="1:20">
      <c r="A14" t="s">
        <v>48</v>
      </c>
      <c r="B14" s="1" t="s">
        <v>49</v>
      </c>
      <c r="C14" s="1" t="s">
        <v>50</v>
      </c>
      <c r="D14" s="3">
        <v>6</v>
      </c>
      <c r="E14" s="4">
        <v>65000</v>
      </c>
      <c r="F14" s="5" t="s">
        <v>14</v>
      </c>
      <c r="G14" s="2">
        <f>Table1[[#This Row],[LastPurchase]]-Table1[[#This Row],[JoinDate]]</f>
        <v>52</v>
      </c>
    </row>
    <row r="15" spans="1:20">
      <c r="A15" t="s">
        <v>51</v>
      </c>
      <c r="B15" s="1" t="s">
        <v>52</v>
      </c>
      <c r="C15" s="1" t="s">
        <v>53</v>
      </c>
      <c r="D15" s="3">
        <v>1</v>
      </c>
      <c r="E15" s="4">
        <v>6000</v>
      </c>
      <c r="F15" s="5" t="s">
        <v>18</v>
      </c>
      <c r="G15" s="2">
        <f>Table1[[#This Row],[LastPurchase]]-Table1[[#This Row],[JoinDate]]</f>
        <v>11</v>
      </c>
      <c r="S15" s="8"/>
    </row>
  </sheetData>
  <pageMargins left="0.75" right="0.75" top="1" bottom="1" header="0.5" footer="0.5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2026-04-07T05:46:16Z</dcterms:created>
  <dcterms:modified xsi:type="dcterms:W3CDTF">2026-04-07T07:21:33Z</dcterms:modified>
  <cp:category/>
  <cp:contentStatus/>
</cp:coreProperties>
</file>